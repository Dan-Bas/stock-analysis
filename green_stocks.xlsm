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3e3af3ea4d77ed/Documents/Data Analytics/Class Folder/VBA/"/>
    </mc:Choice>
  </mc:AlternateContent>
  <xr:revisionPtr revIDLastSave="25590" documentId="8_{1F51B218-E43F-4F7C-AD56-282EE040892A}" xr6:coauthVersionLast="45" xr6:coauthVersionMax="45" xr10:uidLastSave="{63E8FCB5-4BEC-40E5-84B3-FEE7476FEABA}"/>
  <bookViews>
    <workbookView xWindow="-120" yWindow="-120" windowWidth="20730" windowHeight="111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  <definedName name="_xlnm.Criteria" localSheetId="1">'2018'!$A$2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3" i="2"/>
  <c r="I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<sst xmlns="http://schemas.openxmlformats.org/spreadsheetml/2006/main" count="12084" uniqueCount="527">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</sst>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1" xfId="1" applyNumberFormat="1" applyFont="1" applyBorder="1" applyAlignment="1">
      <alignment horizontal="center" vertical="top"/>
    </xf>
    <xf numFmtId="164" fontId="0" fillId="0" borderId="0" xfId="1" applyNumberFormat="1" applyFont="1"/>
    <xf numFmtId="43" fontId="0" fillId="0" borderId="0" xfId="1" applyFont="1"/>
    <xf numFmtId="165" fontId="4" fillId="3" borderId="0" xfId="0" applyNumberFormat="1" applyFont="1" applyFill="1"/>
    <xf numFmtId="165" fontId="4" fillId="2" borderId="0" xfId="0" applyNumberFormat="1" applyFont="1" applyFill="1"/>
    <xf numFmtId="0" fontId="3" fillId="0" borderId="3" xfId="0" applyFont="1" applyFill="1" applyBorder="1"/>
    <xf numFmtId="0" fontId="4" fillId="0" borderId="0" xfId="0" applyFont="1" applyFill="1"/>
    <xf numFmtId="0" fontId="3" fillId="0" borderId="2" xfId="0" applyFont="1" applyFill="1" applyBorder="1"/>
    <xf numFmtId="3" fontId="4" fillId="0" borderId="0" xfId="0" applyNumberFormat="1" applyFon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zoomScaleNormal="100" workbookViewId="0">
      <selection activeCell="I1" sqref="I1"/>
    </sheetView>
  </sheetViews>
  <sheetFormatPr defaultColWidth="13.140625" defaultRowHeight="15" x14ac:dyDescent="0.25"/>
  <cols>
    <col min="8" max="8" width="14.28515625" style="3" bestFit="1" customWidth="1"/>
    <col min="11" max="11" width="15.285156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I2">
        <f>SUMIF(A:A,_xlnm.Criteria,H:H)</f>
        <v>83079900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  <c r="I3">
        <f>SUMIF(A:A,"CSIQ",H:H)</f>
        <v>200879900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  <c r="I4">
        <f>SUMIF(A:A,"enph",H:H)</f>
        <v>607473500</v>
      </c>
      <c r="K4" s="4"/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B465D-31DC-45BF-BAD6-D035A527EA31}">
  <sheetPr codeName="Sheet3"/>
  <dimension ref="A1:C4"/>
  <sheetViews>
    <sheetView workbookViewId="0">
      <selection activeCell="A6" sqref="A6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CA4A6-95FC-4067-99CE-CFA33D48BA6E}">
  <sheetPr codeName="Sheet4"/>
  <dimension ref="A1:C15"/>
  <sheetViews>
    <sheetView tabSelected="1" zoomScale="80" zoomScaleNormal="80" workbookViewId="0">
      <selection activeCell="G6" sqref="G6"/>
    </sheetView>
  </sheetViews>
  <sheetFormatPr defaultRowHeight="15" x14ac:dyDescent="0.25"/>
  <cols>
    <col min="1" max="1" width="9.140625" style="8"/>
    <col min="2" max="2" width="18.42578125" style="8" bestFit="1" customWidth="1"/>
    <col min="3" max="3" width="7.28515625" style="8" bestFit="1" customWidth="1"/>
    <col min="4" max="16384" width="9.140625" style="8"/>
  </cols>
  <sheetData>
    <row r="1" spans="1:3" x14ac:dyDescent="0.25">
      <c r="A1" s="7" t="s">
        <v>526</v>
      </c>
    </row>
    <row r="3" spans="1:3" x14ac:dyDescent="0.25">
      <c r="A3" s="9" t="s">
        <v>0</v>
      </c>
      <c r="B3" s="9" t="s">
        <v>524</v>
      </c>
      <c r="C3" s="9" t="s">
        <v>525</v>
      </c>
    </row>
    <row r="4" spans="1:3" x14ac:dyDescent="0.25">
      <c r="A4" s="8" t="s">
        <v>8</v>
      </c>
      <c r="B4" s="10">
        <v>83079900</v>
      </c>
      <c r="C4" s="5">
        <v>-7.2847634553909302E-2</v>
      </c>
    </row>
    <row r="5" spans="1:3" x14ac:dyDescent="0.25">
      <c r="A5" s="8" t="s">
        <v>9</v>
      </c>
      <c r="B5" s="10">
        <v>200879900</v>
      </c>
      <c r="C5" s="5">
        <v>-0.16336052119731903</v>
      </c>
    </row>
    <row r="6" spans="1:3" x14ac:dyDescent="0.25">
      <c r="A6" s="8" t="s">
        <v>10</v>
      </c>
      <c r="B6" s="10">
        <v>107873900</v>
      </c>
      <c r="C6" s="5">
        <v>-0.62601888179779053</v>
      </c>
    </row>
    <row r="7" spans="1:3" x14ac:dyDescent="0.25">
      <c r="A7" s="8" t="s">
        <v>11</v>
      </c>
      <c r="B7" s="10">
        <v>607473500</v>
      </c>
      <c r="C7" s="6">
        <v>0.81923085451126099</v>
      </c>
    </row>
    <row r="8" spans="1:3" x14ac:dyDescent="0.25">
      <c r="A8" s="8" t="s">
        <v>12</v>
      </c>
      <c r="B8" s="10">
        <v>478113900</v>
      </c>
      <c r="C8" s="5">
        <v>-0.39713191986083984</v>
      </c>
    </row>
    <row r="9" spans="1:3" x14ac:dyDescent="0.25">
      <c r="A9" s="8" t="s">
        <v>13</v>
      </c>
      <c r="B9" s="10">
        <v>104340600</v>
      </c>
      <c r="C9" s="5">
        <v>-0.20658062398433685</v>
      </c>
    </row>
    <row r="10" spans="1:3" x14ac:dyDescent="0.25">
      <c r="A10" s="8" t="s">
        <v>14</v>
      </c>
      <c r="B10" s="10">
        <v>158309000</v>
      </c>
      <c r="C10" s="5">
        <v>-0.6053471565246582</v>
      </c>
    </row>
    <row r="11" spans="1:3" x14ac:dyDescent="0.25">
      <c r="A11" s="8" t="s">
        <v>15</v>
      </c>
      <c r="B11" s="10">
        <v>502757100</v>
      </c>
      <c r="C11" s="6">
        <v>0.83952707052230835</v>
      </c>
    </row>
    <row r="12" spans="1:3" x14ac:dyDescent="0.25">
      <c r="A12" s="8" t="s">
        <v>16</v>
      </c>
      <c r="B12" s="10">
        <v>237212300</v>
      </c>
      <c r="C12" s="5">
        <v>-7.7529586851596832E-2</v>
      </c>
    </row>
    <row r="13" spans="1:3" x14ac:dyDescent="0.25">
      <c r="A13" s="8" t="s">
        <v>17</v>
      </c>
      <c r="B13" s="10">
        <v>538024300</v>
      </c>
      <c r="C13" s="5">
        <v>-0.44593092799186707</v>
      </c>
    </row>
    <row r="14" spans="1:3" x14ac:dyDescent="0.25">
      <c r="A14" s="8" t="s">
        <v>18</v>
      </c>
      <c r="B14" s="10">
        <v>151434700</v>
      </c>
      <c r="C14" s="5">
        <v>-4.9957673996686935E-2</v>
      </c>
    </row>
    <row r="15" spans="1:3" x14ac:dyDescent="0.25">
      <c r="A15" s="8" t="s">
        <v>19</v>
      </c>
      <c r="B15" s="10">
        <v>136539100</v>
      </c>
      <c r="C15" s="5">
        <v>-3.5443063825368881E-2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'2018'!Criteria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Daniel Bastidas</cp:lastModifiedBy>
  <dcterms:created xsi:type="dcterms:W3CDTF">2019-05-02T20:23:55Z</dcterms:created>
  <dcterms:modified xsi:type="dcterms:W3CDTF">2020-07-30T02:03:32Z</dcterms:modified>
</cp:coreProperties>
</file>