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e3af3ea4d77ed/Documents/Data Analytics/Class Folder/VBA/"/>
    </mc:Choice>
  </mc:AlternateContent>
  <xr:revisionPtr revIDLastSave="26291" documentId="8_{1F51B218-E43F-4F7C-AD56-282EE040892A}" xr6:coauthVersionLast="45" xr6:coauthVersionMax="45" xr10:uidLastSave="{D6E9F61D-FDD4-4177-A229-F12A9F8CEC8F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  <definedName name="_xlnm.Criteria" localSheetId="1">'2018'!$A$2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3" i="2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<sst xmlns="http://schemas.openxmlformats.org/spreadsheetml/2006/main" count="12084" uniqueCount="527">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</sst>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horizontal="center" vertical="top"/>
    </xf>
    <xf numFmtId="164" fontId="0" fillId="0" borderId="0" xfId="1" applyNumberFormat="1" applyFont="1"/>
    <xf numFmtId="43" fontId="0" fillId="0" borderId="0" xfId="1" applyFont="1"/>
    <xf numFmtId="0" fontId="1" fillId="0" borderId="0" xfId="0" applyFont="1"/>
    <xf numFmtId="0" fontId="1" fillId="0" borderId="3" xfId="0" applyFont="1" applyBorder="1"/>
    <xf numFmtId="0" fontId="1" fillId="0" borderId="2" xfId="0" applyFont="1" applyBorder="1"/>
    <xf numFmtId="3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  <xf numFmtId="0" fontId="0" fillId="0" borderId="4" xfId="0" applyBorder="1"/>
    <xf numFmtId="3" fontId="0" fillId="0" borderId="4" xfId="0" applyNumberFormat="1" applyBorder="1"/>
    <xf numFmtId="165" fontId="0" fillId="0" borderId="4" xfId="0" applyNumberForma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180975</xdr:rowOff>
        </xdr:from>
        <xdr:to>
          <xdr:col>6</xdr:col>
          <xdr:colOff>581025</xdr:colOff>
          <xdr:row>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4</xdr:row>
          <xdr:rowOff>9525</xdr:rowOff>
        </xdr:from>
        <xdr:to>
          <xdr:col>6</xdr:col>
          <xdr:colOff>590550</xdr:colOff>
          <xdr:row>5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23811</xdr:colOff>
          <xdr:row>0</xdr:row>
          <xdr:rowOff>178595</xdr:rowOff>
        </xdr:from>
        <xdr:to>
          <xdr:col>12</xdr:col>
          <xdr:colOff>595313</xdr:colOff>
          <xdr:row>2</xdr:row>
          <xdr:rowOff>178595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9</xdr:col>
          <xdr:colOff>38100</xdr:colOff>
          <xdr:row>2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zoomScaleNormal="100" workbookViewId="0">
      <selection activeCell="I1" sqref="I1"/>
    </sheetView>
  </sheetViews>
  <sheetFormatPr defaultColWidth="13.140625" defaultRowHeight="15" x14ac:dyDescent="0.25"/>
  <cols>
    <col min="8" max="8" width="14.28515625" style="3" bestFit="1" customWidth="1"/>
    <col min="11" max="11" width="15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SUMIF(A:A,_xlnm.Criteria,H:H)</f>
        <v>83079900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>
        <f>SUMIF(A:A,"CSIQ",H:H)</f>
        <v>200879900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  <c r="I4">
        <f>SUMIF(A:A,"enph",H:H)</f>
        <v>607473500</v>
      </c>
      <c r="K4" s="4"/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465D-31DC-45BF-BAD6-D035A527EA31}">
  <sheetPr codeName="Sheet3"/>
  <dimension ref="A1:C4"/>
  <sheetViews>
    <sheetView workbookViewId="0">
      <selection activeCell="G9" sqref="G9"/>
    </sheetView>
  </sheetViews>
  <sheetFormatPr defaultRowHeight="15" x14ac:dyDescent="0.25"/>
  <cols>
    <col min="2" max="2" width="18" bestFit="1" customWidth="1"/>
    <col min="3" max="3" width="7" bestFit="1" customWidth="1"/>
  </cols>
  <sheetData>
    <row r="1" spans="1:3" x14ac:dyDescent="0.25">
      <c r="A1" s="5" t="s">
        <v>522</v>
      </c>
      <c r="B1" s="5"/>
    </row>
    <row r="3" spans="1:3" x14ac:dyDescent="0.25">
      <c r="A3" s="5" t="s">
        <v>523</v>
      </c>
      <c r="B3" s="5" t="s">
        <v>524</v>
      </c>
      <c r="C3" s="5" t="s">
        <v>525</v>
      </c>
    </row>
    <row r="4" spans="1:3" x14ac:dyDescent="0.25">
      <c r="A4" s="11">
        <v>2018</v>
      </c>
      <c r="B4" s="12">
        <v>107873900</v>
      </c>
      <c r="C4" s="13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4.DBAnalysis">
                <anchor moveWithCells="1" sizeWithCells="1">
                  <from>
                    <xdr:col>4</xdr:col>
                    <xdr:colOff>600075</xdr:colOff>
                    <xdr:row>0</xdr:row>
                    <xdr:rowOff>180975</xdr:rowOff>
                  </from>
                  <to>
                    <xdr:col>6</xdr:col>
                    <xdr:colOff>581025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DQ_Analysis">
                <anchor moveWithCells="1" sizeWithCells="1">
                  <from>
                    <xdr:col>4</xdr:col>
                    <xdr:colOff>590550</xdr:colOff>
                    <xdr:row>4</xdr:row>
                    <xdr:rowOff>9525</xdr:rowOff>
                  </from>
                  <to>
                    <xdr:col>6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CA4A6-95FC-4067-99CE-CFA33D48BA6E}">
  <sheetPr codeName="Sheet4"/>
  <dimension ref="A1:C15"/>
  <sheetViews>
    <sheetView tabSelected="1" zoomScale="90" zoomScaleNormal="90" workbookViewId="0">
      <selection activeCell="L10" sqref="L10"/>
    </sheetView>
  </sheetViews>
  <sheetFormatPr defaultRowHeight="15" x14ac:dyDescent="0.25"/>
  <cols>
    <col min="1" max="1" width="8.42578125" customWidth="1"/>
    <col min="2" max="2" width="18" bestFit="1" customWidth="1"/>
    <col min="3" max="3" width="7.42578125" bestFit="1" customWidth="1"/>
    <col min="4" max="4" width="8.42578125" customWidth="1"/>
  </cols>
  <sheetData>
    <row r="1" spans="1:3" x14ac:dyDescent="0.25">
      <c r="A1" s="6" t="s">
        <v>526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8">
        <v>136070900</v>
      </c>
      <c r="C4" s="10">
        <v>8.9368253946304321E-2</v>
      </c>
    </row>
    <row r="5" spans="1:3" x14ac:dyDescent="0.25">
      <c r="A5" t="s">
        <v>9</v>
      </c>
      <c r="B5" s="8">
        <v>310592800</v>
      </c>
      <c r="C5" s="10">
        <v>0.33070248365402222</v>
      </c>
    </row>
    <row r="6" spans="1:3" x14ac:dyDescent="0.25">
      <c r="A6" t="s">
        <v>10</v>
      </c>
      <c r="B6" s="8">
        <v>35796200</v>
      </c>
      <c r="C6" s="10">
        <v>1.9944583177566528</v>
      </c>
    </row>
    <row r="7" spans="1:3" x14ac:dyDescent="0.25">
      <c r="A7" t="s">
        <v>11</v>
      </c>
      <c r="B7" s="8">
        <v>221772100</v>
      </c>
      <c r="C7" s="10">
        <v>1.2952382564544678</v>
      </c>
    </row>
    <row r="8" spans="1:3" x14ac:dyDescent="0.25">
      <c r="A8" t="s">
        <v>12</v>
      </c>
      <c r="B8" s="8">
        <v>684181400</v>
      </c>
      <c r="C8" s="10">
        <v>1.0131185054779053</v>
      </c>
    </row>
    <row r="9" spans="1:3" x14ac:dyDescent="0.25">
      <c r="A9" t="s">
        <v>13</v>
      </c>
      <c r="B9" s="8">
        <v>80949300</v>
      </c>
      <c r="C9" s="10">
        <v>0.2583681046962738</v>
      </c>
    </row>
    <row r="10" spans="1:3" x14ac:dyDescent="0.25">
      <c r="A10" t="s">
        <v>14</v>
      </c>
      <c r="B10" s="8">
        <v>191632200</v>
      </c>
      <c r="C10" s="10">
        <v>0.53870755434036255</v>
      </c>
    </row>
    <row r="11" spans="1:3" x14ac:dyDescent="0.25">
      <c r="A11" t="s">
        <v>15</v>
      </c>
      <c r="B11" s="8">
        <v>267681300</v>
      </c>
      <c r="C11" s="10">
        <v>5.5456161499023438E-2</v>
      </c>
    </row>
    <row r="12" spans="1:3" x14ac:dyDescent="0.25">
      <c r="A12" t="s">
        <v>16</v>
      </c>
      <c r="B12" s="8">
        <v>206885200</v>
      </c>
      <c r="C12" s="10">
        <v>1.8446969985961914</v>
      </c>
    </row>
    <row r="13" spans="1:3" x14ac:dyDescent="0.25">
      <c r="A13" t="s">
        <v>17</v>
      </c>
      <c r="B13" s="8">
        <v>782187000</v>
      </c>
      <c r="C13" s="10">
        <v>0.23065699636936188</v>
      </c>
    </row>
    <row r="14" spans="1:3" x14ac:dyDescent="0.25">
      <c r="A14" t="s">
        <v>18</v>
      </c>
      <c r="B14" s="8">
        <v>139402800</v>
      </c>
      <c r="C14" s="9">
        <v>-7.2148971259593964E-2</v>
      </c>
    </row>
    <row r="15" spans="1:3" x14ac:dyDescent="0.25">
      <c r="A15" t="s">
        <v>19</v>
      </c>
      <c r="B15" s="8">
        <v>109487900</v>
      </c>
      <c r="C15" s="10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10</xdr:col>
                    <xdr:colOff>19050</xdr:colOff>
                    <xdr:row>0</xdr:row>
                    <xdr:rowOff>180975</xdr:rowOff>
                  </from>
                  <to>
                    <xdr:col>12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Worksheet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9</xdr:col>
                    <xdr:colOff>38100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Bastidas</cp:lastModifiedBy>
  <dcterms:created xsi:type="dcterms:W3CDTF">2019-05-02T20:23:55Z</dcterms:created>
  <dcterms:modified xsi:type="dcterms:W3CDTF">2020-07-30T03:34:41Z</dcterms:modified>
</cp:coreProperties>
</file>